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d2d76ee10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a41c3b00ca784ae8"/>
    <x:sheet xmlns:r="http://schemas.openxmlformats.org/officeDocument/2006/relationships" name="Line items" sheetId="2" r:id="R0656073e1737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sz val="11"/>
      <x:color rgb="FF263D50"/>
      <x:name val="Arial"/>
    </x:font>
    <x:font>
      <x:b/>
      <x:sz val="18"/>
      <x:color rgb="FF204561"/>
      <x:name val="Arial"/>
    </x:font>
    <x:font>
      <x:sz val="10"/>
      <x:color rgb="FF687B8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4561"/>
      </x:patternFill>
    </x:fill>
    <x:fill>
      <x:patternFill patternType="solid">
        <x:fgColor rgb="FFFFFFFF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9B611B"/>
      </x:font>
      <x:fill>
        <x:patternFill patternType="solid">
          <x:bgColor rgb="FFFFF0D8"/>
        </x:patternFill>
      </x:fill>
    </x:dxf>
    <x:dxf>
      <x:font>
        <x:b/>
        <x:color rgb="FF9B611B"/>
      </x:font>
      <x:fill>
        <x:patternFill patternType="solid">
          <x:bgColor rgb="FFFFF0D8"/>
        </x:patternFill>
      </x:fill>
    </x:dxf>
    <x:dxf>
      <x:font>
        <x:b/>
        <x:color rgb="FF9B611B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87267a26a49e4" /><Relationship Type="http://schemas.openxmlformats.org/officeDocument/2006/relationships/theme" Target="/xl/theme/theme1.xml" Id="R6a44c0bfcddd4823" /><Relationship Type="http://schemas.openxmlformats.org/officeDocument/2006/relationships/sharedStrings" Target="/xl/sharedStrings.xml" Id="Rdfc7d6f88c7241aa" /><Relationship Type="http://schemas.openxmlformats.org/officeDocument/2006/relationships/worksheet" Target="/xl/worksheets/sheet1.xml" Id="Ra41c3b00ca784ae8" /><Relationship Type="http://schemas.openxmlformats.org/officeDocument/2006/relationships/worksheet" Target="/xl/worksheets/sheet2.xml" Id="R0656073e173742d9" /></Relationships>
</file>

<file path=xl/tables/table1.xml><?xml version="1.0" encoding="utf-8"?>
<x:table xmlns:x="http://schemas.openxmlformats.org/spreadsheetml/2006/main" id="1" name="InvoicesTable" displayName="InvoicesTable" ref="A7:N17" headerRowCount="1" totalsRowCount="0" totalsRowShown="0">
  <x:tableColumns count="14">
    <x:tableColumn id="1" name="Source PDF"/>
    <x:tableColumn id="2" name="Vendor"/>
    <x:tableColumn id="3" name="Invoice"/>
    <x:tableColumn id="4" name="Date"/>
    <x:tableColumn id="5" name="Currency"/>
    <x:tableColumn id="6" name="Items sum"/>
    <x:tableColumn id="7" name="Tax"/>
    <x:tableColumn id="8" name="Shipping"/>
    <x:tableColumn id="9" name="Discount"/>
    <x:tableColumn id="10" name="Calculated total"/>
    <x:tableColumn id="11" name="Printed total"/>
    <x:tableColumn id="12" name="Difference"/>
    <x:tableColumn id="13" name="Review needed"/>
    <x:tableColumn id="14" name="Review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eItemsTable" displayName="LineItemsTable" ref="A7:I25" headerRowCount="1" totalsRowCount="0" totalsRowShown="0">
  <x:tableColumns count="9">
    <x:tableColumn id="1" name="Source PDF"/>
    <x:tableColumn id="2" name="Invoice"/>
    <x:tableColumn id="3" name="Line"/>
    <x:tableColumn id="4" name="Description"/>
    <x:tableColumn id="5" name="Quantity"/>
    <x:tableColumn id="6" name="Unit price"/>
    <x:tableColumn id="7" name="Printed amount"/>
    <x:tableColumn id="8" name="Calculated amount"/>
    <x:tableColumn id="9" name="Dif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a5420d5fc449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d3d9b3df284a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15" hidden="0" customWidth="1"/>
    <x:col min="4" max="4" width="16" hidden="0" customWidth="1"/>
    <x:col min="5" max="5" width="12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18" hidden="0" customWidth="1"/>
    <x:col min="12" max="12" width="15" hidden="0" customWidth="1"/>
    <x:col min="13" max="13" width="18" hidden="0" customWidth="1"/>
    <x:col min="14" max="14" width="66" hidden="0" customWidth="1"/>
  </x:cols>
  <x:sheetData>
    <x:row r="1" ht="26" customHeight="1">
      <x:c r="A1" s="3" t="str">
        <x:v>Invoice extraction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4" t="str">
        <x:v>10 fictional PDFs / three text layouts / one image-only scan / October 5,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6" customHeight="1">
      <x:c r="A5" s="2" t="str">
        <x:v>Source: inputs/*.pdf. Amounts in each row’s currency. Review includes missing fields and calculation differences.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8" t="str">
        <x:v>Source PDF</x:v>
      </x:c>
      <x:c r="B7" s="8" t="str">
        <x:v>Vendor</x:v>
      </x:c>
      <x:c r="C7" s="8" t="str">
        <x:v>Invoice</x:v>
      </x:c>
      <x:c r="D7" s="8" t="str">
        <x:v>Date</x:v>
      </x:c>
      <x:c r="E7" s="8" t="str">
        <x:v>Currency</x:v>
      </x:c>
      <x:c r="F7" s="8" t="str">
        <x:v>Items sum</x:v>
      </x:c>
      <x:c r="G7" s="8" t="str">
        <x:v>Tax</x:v>
      </x:c>
      <x:c r="H7" s="8" t="str">
        <x:v>Shipping</x:v>
      </x:c>
      <x:c r="I7" s="8" t="str">
        <x:v>Discount</x:v>
      </x:c>
      <x:c r="J7" s="8" t="str">
        <x:v>Calculated total</x:v>
      </x:c>
      <x:c r="K7" s="8" t="str">
        <x:v>Printed total</x:v>
      </x:c>
      <x:c r="L7" s="8" t="str">
        <x:v>Difference</x:v>
      </x:c>
      <x:c r="M7" s="8" t="str">
        <x:v>Review needed</x:v>
      </x:c>
      <x:c r="N7" s="8" t="str">
        <x:v>Review reason</x:v>
      </x:c>
    </x:row>
    <x:row r="8" ht="66" customHeight="1">
      <x:c r="A8" s="11" t="str">
        <x:v>01_standard.pdf</x:v>
      </x:c>
      <x:c r="B8" s="11" t="str">
        <x:v>Harbor Supply</x:v>
      </x:c>
      <x:c r="C8" s="11" t="str">
        <x:v>HS-1001</x:v>
      </x:c>
      <x:c r="D8" s="14" t="n">
        <x:v>46296</x:v>
      </x:c>
      <x:c r="E8" s="12" t="str">
        <x:v>USD</x:v>
      </x:c>
      <x:c r="F8" s="18" t="n">
        <x:f>IF(COUNTIF('Line items'!$A$8:$A$25,A8)=0,"",SUMIF('Line items'!$A$8:$A$25,A8,'Line items'!$G$8:$G$25))</x:f>
        <x:v>68</x:v>
      </x:c>
      <x:c r="G8" s="18" t="n">
        <x:v>0</x:v>
      </x:c>
      <x:c r="H8" s="18" t="n">
        <x:v>0</x:v>
      </x:c>
      <x:c r="I8" s="18" t="n">
        <x:v>0</x:v>
      </x:c>
      <x:c r="J8" s="18" t="n">
        <x:f>IF(COUNT(F8:I8)&lt;4,"",ROUND(F8+G8+H8-I8,2))</x:f>
        <x:v>68</x:v>
      </x:c>
      <x:c r="K8" s="18" t="n">
        <x:v>68</x:v>
      </x:c>
      <x:c r="L8" s="18" t="n">
        <x:f>IF(COUNT(J8:K8)&lt;2,"",ROUND(K8-J8,2))</x:f>
        <x:v>0</x:v>
      </x:c>
      <x:c r="M8" s="11" t="str">
        <x:v>No</x:v>
      </x:c>
      <x:c r="N8" s="11" t="str"/>
    </x:row>
    <x:row r="9" ht="66" customHeight="1">
      <x:c r="A9" s="10" t="str">
        <x:v>02_with_tax.pdf</x:v>
      </x:c>
      <x:c r="B9" s="10" t="str">
        <x:v>Harbor Supply</x:v>
      </x:c>
      <x:c r="C9" s="10" t="str">
        <x:v>HS-1002</x:v>
      </x:c>
      <x:c r="D9" s="15" t="n">
        <x:v>46297</x:v>
      </x:c>
      <x:c r="E9" s="13" t="str">
        <x:v>USD</x:v>
      </x:c>
      <x:c r="F9" s="19" t="n">
        <x:f>IF(COUNTIF('Line items'!$A$8:$A$25,A9)=0,"",SUMIF('Line items'!$A$8:$A$25,A9,'Line items'!$G$8:$G$25))</x:f>
        <x:v>80</x:v>
      </x:c>
      <x:c r="G9" s="19" t="n">
        <x:v>8</x:v>
      </x:c>
      <x:c r="H9" s="19" t="n">
        <x:v>0</x:v>
      </x:c>
      <x:c r="I9" s="19" t="n">
        <x:v>0</x:v>
      </x:c>
      <x:c r="J9" s="19" t="n">
        <x:f>IF(COUNT(F9:I9)&lt;4,"",ROUND(F9+G9+H9-I9,2))</x:f>
        <x:v>88</x:v>
      </x:c>
      <x:c r="K9" s="19" t="n">
        <x:v>88</x:v>
      </x:c>
      <x:c r="L9" s="19" t="n">
        <x:f>IF(COUNT(J9:K9)&lt;2,"",ROUND(K9-J9,2))</x:f>
        <x:v>0</x:v>
      </x:c>
      <x:c r="M9" s="10" t="str">
        <x:v>No</x:v>
      </x:c>
      <x:c r="N9" s="10" t="str"/>
    </x:row>
    <x:row r="10" ht="66" customHeight="1">
      <x:c r="A10" s="11" t="str">
        <x:v>03_shipping.pdf</x:v>
      </x:c>
      <x:c r="B10" s="11" t="str">
        <x:v>Cedar Industrial</x:v>
      </x:c>
      <x:c r="C10" s="11" t="str">
        <x:v>CD-2040</x:v>
      </x:c>
      <x:c r="D10" s="14" t="n">
        <x:v>46297</x:v>
      </x:c>
      <x:c r="E10" s="12" t="str">
        <x:v>USD</x:v>
      </x:c>
      <x:c r="F10" s="18" t="n">
        <x:f>IF(COUNTIF('Line items'!$A$8:$A$25,A10)=0,"",SUMIF('Line items'!$A$8:$A$25,A10,'Line items'!$G$8:$G$25))</x:f>
        <x:v>100</x:v>
      </x:c>
      <x:c r="G10" s="18" t="n">
        <x:v>0</x:v>
      </x:c>
      <x:c r="H10" s="18" t="n">
        <x:v>15</x:v>
      </x:c>
      <x:c r="I10" s="18" t="n">
        <x:v>0</x:v>
      </x:c>
      <x:c r="J10" s="18" t="n">
        <x:f>IF(COUNT(F10:I10)&lt;4,"",ROUND(F10+G10+H10-I10,2))</x:f>
        <x:v>115</x:v>
      </x:c>
      <x:c r="K10" s="18" t="n">
        <x:v>115</x:v>
      </x:c>
      <x:c r="L10" s="18" t="n">
        <x:f>IF(COUNT(J10:K10)&lt;2,"",ROUND(K10-J10,2))</x:f>
        <x:v>0</x:v>
      </x:c>
      <x:c r="M10" s="11" t="str">
        <x:v>No</x:v>
      </x:c>
      <x:c r="N10" s="11" t="str"/>
    </x:row>
    <x:row r="11" ht="66" customHeight="1">
      <x:c r="A11" s="10" t="str">
        <x:v>04_discount.pdf</x:v>
      </x:c>
      <x:c r="B11" s="10" t="str">
        <x:v>Cedar Industrial</x:v>
      </x:c>
      <x:c r="C11" s="10" t="str">
        <x:v>CD-2041</x:v>
      </x:c>
      <x:c r="D11" s="15" t="n">
        <x:v>46298</x:v>
      </x:c>
      <x:c r="E11" s="13" t="str">
        <x:v>USD</x:v>
      </x:c>
      <x:c r="F11" s="19" t="n">
        <x:f>IF(COUNTIF('Line items'!$A$8:$A$25,A11)=0,"",SUMIF('Line items'!$A$8:$A$25,A11,'Line items'!$G$8:$G$25))</x:f>
        <x:v>140</x:v>
      </x:c>
      <x:c r="G11" s="19" t="n">
        <x:v>0</x:v>
      </x:c>
      <x:c r="H11" s="19" t="n">
        <x:v>0</x:v>
      </x:c>
      <x:c r="I11" s="19" t="n">
        <x:v>10</x:v>
      </x:c>
      <x:c r="J11" s="19" t="n">
        <x:f>IF(COUNT(F11:I11)&lt;4,"",ROUND(F11+G11+H11-I11,2))</x:f>
        <x:v>130</x:v>
      </x:c>
      <x:c r="K11" s="19" t="n">
        <x:v>130</x:v>
      </x:c>
      <x:c r="L11" s="19" t="n">
        <x:f>IF(COUNT(J11:K11)&lt;2,"",ROUND(K11-J11,2))</x:f>
        <x:v>0</x:v>
      </x:c>
      <x:c r="M11" s="10" t="str">
        <x:v>No</x:v>
      </x:c>
      <x:c r="N11" s="10" t="str"/>
    </x:row>
    <x:row r="12" ht="66" customHeight="1">
      <x:c r="A12" s="11" t="str">
        <x:v>05_decimal_comma.pdf</x:v>
      </x:c>
      <x:c r="B12" s="11" t="str">
        <x:v>Aster Wholesale</x:v>
      </x:c>
      <x:c r="C12" s="11" t="str">
        <x:v>AW-3001</x:v>
      </x:c>
      <x:c r="D12" s="14" t="n">
        <x:v>46298</x:v>
      </x:c>
      <x:c r="E12" s="12" t="str">
        <x:v>EUR</x:v>
      </x:c>
      <x:c r="F12" s="18" t="n">
        <x:f>IF(COUNTIF('Line items'!$A$8:$A$25,A12)=0,"",SUMIF('Line items'!$A$8:$A$25,A12,'Line items'!$G$8:$G$25))</x:f>
        <x:v>110</x:v>
      </x:c>
      <x:c r="G12" s="18" t="n">
        <x:v>22</x:v>
      </x:c>
      <x:c r="H12" s="18" t="n">
        <x:v>0</x:v>
      </x:c>
      <x:c r="I12" s="18" t="n">
        <x:v>0</x:v>
      </x:c>
      <x:c r="J12" s="18" t="n">
        <x:f>IF(COUNT(F12:I12)&lt;4,"",ROUND(F12+G12+H12-I12,2))</x:f>
        <x:v>132</x:v>
      </x:c>
      <x:c r="K12" s="18" t="n">
        <x:v>132</x:v>
      </x:c>
      <x:c r="L12" s="18" t="n">
        <x:f>IF(COUNT(J12:K12)&lt;2,"",ROUND(K12-J12,2))</x:f>
        <x:v>0</x:v>
      </x:c>
      <x:c r="M12" s="11" t="str">
        <x:v>No</x:v>
      </x:c>
      <x:c r="N12" s="11" t="str"/>
    </x:row>
    <x:row r="13" ht="66" customHeight="1">
      <x:c r="A13" s="10" t="str">
        <x:v>06_large_amount.pdf</x:v>
      </x:c>
      <x:c r="B13" s="10" t="str">
        <x:v>Aster Wholesale</x:v>
      </x:c>
      <x:c r="C13" s="10" t="str">
        <x:v>AW-3002</x:v>
      </x:c>
      <x:c r="D13" s="15" t="n">
        <x:v>46299</x:v>
      </x:c>
      <x:c r="E13" s="13" t="str">
        <x:v>EUR</x:v>
      </x:c>
      <x:c r="F13" s="19" t="n">
        <x:f>IF(COUNTIF('Line items'!$A$8:$A$25,A13)=0,"",SUMIF('Line items'!$A$8:$A$25,A13,'Line items'!$G$8:$G$25))</x:f>
        <x:v>1450</x:v>
      </x:c>
      <x:c r="G13" s="19" t="n">
        <x:v>290</x:v>
      </x:c>
      <x:c r="H13" s="19" t="n">
        <x:v>25</x:v>
      </x:c>
      <x:c r="I13" s="19" t="n">
        <x:v>50</x:v>
      </x:c>
      <x:c r="J13" s="19" t="n">
        <x:f>IF(COUNT(F13:I13)&lt;4,"",ROUND(F13+G13+H13-I13,2))</x:f>
        <x:v>1715</x:v>
      </x:c>
      <x:c r="K13" s="19" t="n">
        <x:v>1715</x:v>
      </x:c>
      <x:c r="L13" s="19" t="n">
        <x:f>IF(COUNT(J13:K13)&lt;2,"",ROUND(K13-J13,2))</x:f>
        <x:v>0</x:v>
      </x:c>
      <x:c r="M13" s="10" t="str">
        <x:v>No</x:v>
      </x:c>
      <x:c r="N13" s="10" t="str"/>
    </x:row>
    <x:row r="14" ht="66" customHeight="1">
      <x:c r="A14" s="11" t="str">
        <x:v>07_total_mismatch.pdf</x:v>
      </x:c>
      <x:c r="B14" s="11" t="str">
        <x:v>Harbor Supply</x:v>
      </x:c>
      <x:c r="C14" s="11" t="str">
        <x:v>HS-1003</x:v>
      </x:c>
      <x:c r="D14" s="14" t="n">
        <x:v>46299</x:v>
      </x:c>
      <x:c r="E14" s="12" t="str">
        <x:v>USD</x:v>
      </x:c>
      <x:c r="F14" s="18" t="n">
        <x:f>IF(COUNTIF('Line items'!$A$8:$A$25,A14)=0,"",SUMIF('Line items'!$A$8:$A$25,A14,'Line items'!$G$8:$G$25))</x:f>
        <x:v>68</x:v>
      </x:c>
      <x:c r="G14" s="18" t="n">
        <x:v>0</x:v>
      </x:c>
      <x:c r="H14" s="18" t="n">
        <x:v>0</x:v>
      </x:c>
      <x:c r="I14" s="18" t="n">
        <x:v>0</x:v>
      </x:c>
      <x:c r="J14" s="18" t="n">
        <x:f>IF(COUNT(F14:I14)&lt;4,"",ROUND(F14+G14+H14-I14,2))</x:f>
        <x:v>68</x:v>
      </x:c>
      <x:c r="K14" s="18" t="n">
        <x:v>75</x:v>
      </x:c>
      <x:c r="L14" s="18" t="n">
        <x:f>IF(COUNT(J14:K14)&lt;2,"",ROUND(K14-J14,2))</x:f>
        <x:v>7</x:v>
      </x:c>
      <x:c r="M14" s="11" t="str">
        <x:v>Yes</x:v>
      </x:c>
      <x:c r="N14" s="11" t="str">
        <x:v>Printed total differs from items + tax + shipping − discount</x:v>
      </x:c>
    </x:row>
    <x:row r="15" ht="66" customHeight="1">
      <x:c r="A15" s="10" t="str">
        <x:v>08_line_mismatch.pdf</x:v>
      </x:c>
      <x:c r="B15" s="10" t="str">
        <x:v>Cedar Industrial</x:v>
      </x:c>
      <x:c r="C15" s="10" t="str">
        <x:v>CD-2042</x:v>
      </x:c>
      <x:c r="D15" s="15" t="n">
        <x:v>46299</x:v>
      </x:c>
      <x:c r="E15" s="13" t="str">
        <x:v>USD</x:v>
      </x:c>
      <x:c r="F15" s="19" t="n">
        <x:f>IF(COUNTIF('Line items'!$A$8:$A$25,A15)=0,"",SUMIF('Line items'!$A$8:$A$25,A15,'Line items'!$G$8:$G$25))</x:f>
        <x:v>110</x:v>
      </x:c>
      <x:c r="G15" s="19" t="n">
        <x:v>0</x:v>
      </x:c>
      <x:c r="H15" s="19" t="n">
        <x:v>0</x:v>
      </x:c>
      <x:c r="I15" s="19" t="n">
        <x:v>0</x:v>
      </x:c>
      <x:c r="J15" s="19" t="n">
        <x:f>IF(COUNT(F15:I15)&lt;4,"",ROUND(F15+G15+H15-I15,2))</x:f>
        <x:v>110</x:v>
      </x:c>
      <x:c r="K15" s="19" t="n">
        <x:v>110</x:v>
      </x:c>
      <x:c r="L15" s="19" t="n">
        <x:f>IF(COUNT(J15:K15)&lt;2,"",ROUND(K15-J15,2))</x:f>
        <x:v>0</x:v>
      </x:c>
      <x:c r="M15" s="10" t="str">
        <x:v>Yes</x:v>
      </x:c>
      <x:c r="N15" s="10" t="str">
        <x:v>Line 1: quantity × unit price differs from printed amount</x:v>
      </x:c>
    </x:row>
    <x:row r="16" ht="66" customHeight="1">
      <x:c r="A16" s="11" t="str">
        <x:v>09_missing_date.pdf</x:v>
      </x:c>
      <x:c r="B16" s="11" t="str">
        <x:v>Aster Wholesale</x:v>
      </x:c>
      <x:c r="C16" s="11" t="str">
        <x:v>AW-3003</x:v>
      </x:c>
      <x:c r="D16" s="14"/>
      <x:c r="E16" s="12" t="str">
        <x:v>EUR</x:v>
      </x:c>
      <x:c r="F16" s="18" t="n">
        <x:f>IF(COUNTIF('Line items'!$A$8:$A$25,A16)=0,"",SUMIF('Line items'!$A$8:$A$25,A16,'Line items'!$G$8:$G$25))</x:f>
        <x:v>110</x:v>
      </x:c>
      <x:c r="G16" s="18" t="n">
        <x:v>0</x:v>
      </x:c>
      <x:c r="H16" s="18" t="n">
        <x:v>0</x:v>
      </x:c>
      <x:c r="I16" s="18" t="n">
        <x:v>0</x:v>
      </x:c>
      <x:c r="J16" s="18" t="n">
        <x:f>IF(COUNT(F16:I16)&lt;4,"",ROUND(F16+G16+H16-I16,2))</x:f>
        <x:v>110</x:v>
      </x:c>
      <x:c r="K16" s="18" t="n">
        <x:v>110</x:v>
      </x:c>
      <x:c r="L16" s="18" t="n">
        <x:f>IF(COUNT(J16:K16)&lt;2,"",ROUND(K16-J16,2))</x:f>
        <x:v>0</x:v>
      </x:c>
      <x:c r="M16" s="11" t="str">
        <x:v>Yes</x:v>
      </x:c>
      <x:c r="N16" s="11" t="str">
        <x:v>Missing date</x:v>
      </x:c>
    </x:row>
    <x:row r="17" ht="66" customHeight="1">
      <x:c r="A17" s="10" t="str">
        <x:v>10_scanned.pdf</x:v>
      </x:c>
      <x:c r="B17" s="10" t="str"/>
      <x:c r="C17" s="10" t="str"/>
      <x:c r="D17" s="15"/>
      <x:c r="E17" s="13" t="str"/>
      <x:c r="F17" s="19" t="str">
        <x:f>IF(COUNTIF('Line items'!$A$8:$A$25,A17)=0,"",SUMIF('Line items'!$A$8:$A$25,A17,'Line items'!$G$8:$G$25))</x:f>
      </x:c>
      <x:c r="G17" s="19"/>
      <x:c r="H17" s="19"/>
      <x:c r="I17" s="19"/>
      <x:c r="J17" s="19" t="str">
        <x:f>IF(COUNT(F17:I17)&lt;4,"",ROUND(F17+G17+H17-I17,2))</x:f>
      </x:c>
      <x:c r="K17" s="19"/>
      <x:c r="L17" s="19" t="str">
        <x:f>IF(COUNT(J17:K17)&lt;2,"",ROUND(K17-J17,2))</x:f>
      </x:c>
      <x:c r="M17" s="10" t="str">
        <x:v>Yes</x:v>
      </x:c>
      <x:c r="N17" s="10" t="str">
        <x:v>No PDF text: scan needs AI vision or OCR</x:v>
      </x:c>
    </x:row>
    <x:row r="18" ht="26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6" customHeight="1">
      <x:c r="A20" s="4" t="str">
        <x:v>The CSV repeats invoice totals per line item. Use this invoice-level sheet for totals; do not sum repeated CSV totals.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</x:sheetData>
  <x:conditionalFormatting sqref="M8:M17">
    <x:cfRule type="containsText" dxfId="0" priority="1" operator="containsText" text="Yes"/>
  </x:conditionalFormatting>
  <x:conditionalFormatting sqref="L8:L17">
    <x:cfRule type="expression" dxfId="1" priority="2">
      <x:formula>ABS(L8)&gt;0.01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a5420d5fc449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0" hidden="0" customWidth="1"/>
    <x:col min="4" max="4" width="32" hidden="0" customWidth="1"/>
    <x:col min="5" max="5" width="13" hidden="0" customWidth="1"/>
    <x:col min="6" max="6" width="16" hidden="0" customWidth="1"/>
    <x:col min="7" max="7" width="19" hidden="0" customWidth="1"/>
    <x:col min="8" max="8" width="21" hidden="0" customWidth="1"/>
    <x:col min="9" max="9" width="15" hidden="0" customWidth="1"/>
  </x:cols>
  <x:sheetData>
    <x:row r="1" ht="26" customHeight="1">
      <x:c r="A1" s="3" t="str">
        <x:v>Extracted line items</x:v>
      </x:c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2" t="str">
        <x:v>One row per extracted item. Printed values remain unchanged; calculations expose differences.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2" t="str">
        <x:v>Source: fictional PDFs in inputs/. Invoice-level adjustments are shown on Invoices.</x:v>
      </x:c>
      <x:c r="B5" s="2"/>
      <x:c r="C5" s="2"/>
      <x:c r="D5" s="2"/>
      <x:c r="E5" s="2"/>
      <x:c r="F5" s="2"/>
      <x:c r="G5" s="2"/>
      <x:c r="H5" s="2"/>
      <x:c r="I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8" t="str">
        <x:v>Source PDF</x:v>
      </x:c>
      <x:c r="B7" s="8" t="str">
        <x:v>Invoice</x:v>
      </x:c>
      <x:c r="C7" s="8" t="str">
        <x:v>Line</x:v>
      </x:c>
      <x:c r="D7" s="8" t="str">
        <x:v>Description</x:v>
      </x:c>
      <x:c r="E7" s="8" t="str">
        <x:v>Quantity</x:v>
      </x:c>
      <x:c r="F7" s="8" t="str">
        <x:v>Unit price</x:v>
      </x:c>
      <x:c r="G7" s="8" t="str">
        <x:v>Printed amount</x:v>
      </x:c>
      <x:c r="H7" s="8" t="str">
        <x:v>Calculated amount</x:v>
      </x:c>
      <x:c r="I7" s="8" t="str">
        <x:v>Difference</x:v>
      </x:c>
    </x:row>
    <x:row r="8" ht="32" customHeight="1">
      <x:c r="A8" s="11" t="str">
        <x:v>01_standard.pdf</x:v>
      </x:c>
      <x:c r="B8" s="11" t="str">
        <x:v>HS-1001</x:v>
      </x:c>
      <x:c r="C8" s="12" t="n">
        <x:v>1</x:v>
      </x:c>
      <x:c r="D8" s="11" t="str">
        <x:v>Packing boxes</x:v>
      </x:c>
      <x:c r="E8" s="18" t="n">
        <x:v>4</x:v>
      </x:c>
      <x:c r="F8" s="18" t="n">
        <x:v>12.5</x:v>
      </x:c>
      <x:c r="G8" s="18" t="n">
        <x:v>50</x:v>
      </x:c>
      <x:c r="H8" s="18" t="n">
        <x:f>ROUND(E8*F8,2)</x:f>
        <x:v>50</x:v>
      </x:c>
      <x:c r="I8" s="18" t="n">
        <x:f>ROUND(G8-H8,2)</x:f>
        <x:v>0</x:v>
      </x:c>
    </x:row>
    <x:row r="9" ht="32" customHeight="1">
      <x:c r="A9" s="10" t="str">
        <x:v>01_standard.pdf</x:v>
      </x:c>
      <x:c r="B9" s="10" t="str">
        <x:v>HS-1001</x:v>
      </x:c>
      <x:c r="C9" s="13" t="n">
        <x:v>2</x:v>
      </x:c>
      <x:c r="D9" s="10" t="str">
        <x:v>Packing tape</x:v>
      </x:c>
      <x:c r="E9" s="19" t="n">
        <x:v>6</x:v>
      </x:c>
      <x:c r="F9" s="19" t="n">
        <x:v>3</x:v>
      </x:c>
      <x:c r="G9" s="19" t="n">
        <x:v>18</x:v>
      </x:c>
      <x:c r="H9" s="19" t="n">
        <x:f>ROUND(E9*F9,2)</x:f>
        <x:v>18</x:v>
      </x:c>
      <x:c r="I9" s="19" t="n">
        <x:f>ROUND(G9-H9,2)</x:f>
        <x:v>0</x:v>
      </x:c>
    </x:row>
    <x:row r="10" ht="32" customHeight="1">
      <x:c r="A10" s="11" t="str">
        <x:v>02_with_tax.pdf</x:v>
      </x:c>
      <x:c r="B10" s="11" t="str">
        <x:v>HS-1002</x:v>
      </x:c>
      <x:c r="C10" s="12" t="n">
        <x:v>1</x:v>
      </x:c>
      <x:c r="D10" s="11" t="str">
        <x:v>Storage bins</x:v>
      </x:c>
      <x:c r="E10" s="18" t="n">
        <x:v>3</x:v>
      </x:c>
      <x:c r="F10" s="18" t="n">
        <x:v>20</x:v>
      </x:c>
      <x:c r="G10" s="18" t="n">
        <x:v>60</x:v>
      </x:c>
      <x:c r="H10" s="18" t="n">
        <x:f>ROUND(E10*F10,2)</x:f>
        <x:v>60</x:v>
      </x:c>
      <x:c r="I10" s="18" t="n">
        <x:f>ROUND(G10-H10,2)</x:f>
        <x:v>0</x:v>
      </x:c>
    </x:row>
    <x:row r="11" ht="32" customHeight="1">
      <x:c r="A11" s="10" t="str">
        <x:v>02_with_tax.pdf</x:v>
      </x:c>
      <x:c r="B11" s="10" t="str">
        <x:v>HS-1002</x:v>
      </x:c>
      <x:c r="C11" s="13" t="n">
        <x:v>2</x:v>
      </x:c>
      <x:c r="D11" s="10" t="str">
        <x:v>Safety labels</x:v>
      </x:c>
      <x:c r="E11" s="19" t="n">
        <x:v>5</x:v>
      </x:c>
      <x:c r="F11" s="19" t="n">
        <x:v>4</x:v>
      </x:c>
      <x:c r="G11" s="19" t="n">
        <x:v>20</x:v>
      </x:c>
      <x:c r="H11" s="19" t="n">
        <x:f>ROUND(E11*F11,2)</x:f>
        <x:v>20</x:v>
      </x:c>
      <x:c r="I11" s="19" t="n">
        <x:f>ROUND(G11-H11,2)</x:f>
        <x:v>0</x:v>
      </x:c>
    </x:row>
    <x:row r="12" ht="32" customHeight="1">
      <x:c r="A12" s="11" t="str">
        <x:v>03_shipping.pdf</x:v>
      </x:c>
      <x:c r="B12" s="11" t="str">
        <x:v>CD-2040</x:v>
      </x:c>
      <x:c r="C12" s="12" t="n">
        <x:v>1</x:v>
      </x:c>
      <x:c r="D12" s="11" t="str">
        <x:v>Hand tools</x:v>
      </x:c>
      <x:c r="E12" s="18" t="n">
        <x:v>2</x:v>
      </x:c>
      <x:c r="F12" s="18" t="n">
        <x:v>40</x:v>
      </x:c>
      <x:c r="G12" s="18" t="n">
        <x:v>80</x:v>
      </x:c>
      <x:c r="H12" s="18" t="n">
        <x:f>ROUND(E12*F12,2)</x:f>
        <x:v>80</x:v>
      </x:c>
      <x:c r="I12" s="18" t="n">
        <x:f>ROUND(G12-H12,2)</x:f>
        <x:v>0</x:v>
      </x:c>
    </x:row>
    <x:row r="13" ht="32" customHeight="1">
      <x:c r="A13" s="10" t="str">
        <x:v>03_shipping.pdf</x:v>
      </x:c>
      <x:c r="B13" s="10" t="str">
        <x:v>CD-2040</x:v>
      </x:c>
      <x:c r="C13" s="13" t="n">
        <x:v>2</x:v>
      </x:c>
      <x:c r="D13" s="10" t="str">
        <x:v>Work gloves</x:v>
      </x:c>
      <x:c r="E13" s="19" t="n">
        <x:v>4</x:v>
      </x:c>
      <x:c r="F13" s="19" t="n">
        <x:v>5</x:v>
      </x:c>
      <x:c r="G13" s="19" t="n">
        <x:v>20</x:v>
      </x:c>
      <x:c r="H13" s="19" t="n">
        <x:f>ROUND(E13*F13,2)</x:f>
        <x:v>20</x:v>
      </x:c>
      <x:c r="I13" s="19" t="n">
        <x:f>ROUND(G13-H13,2)</x:f>
        <x:v>0</x:v>
      </x:c>
    </x:row>
    <x:row r="14" ht="32" customHeight="1">
      <x:c r="A14" s="11" t="str">
        <x:v>04_discount.pdf</x:v>
      </x:c>
      <x:c r="B14" s="11" t="str">
        <x:v>CD-2041</x:v>
      </x:c>
      <x:c r="C14" s="12" t="n">
        <x:v>1</x:v>
      </x:c>
      <x:c r="D14" s="11" t="str">
        <x:v>Cable rolls</x:v>
      </x:c>
      <x:c r="E14" s="18" t="n">
        <x:v>5</x:v>
      </x:c>
      <x:c r="F14" s="18" t="n">
        <x:v>24</x:v>
      </x:c>
      <x:c r="G14" s="18" t="n">
        <x:v>120</x:v>
      </x:c>
      <x:c r="H14" s="18" t="n">
        <x:f>ROUND(E14*F14,2)</x:f>
        <x:v>120</x:v>
      </x:c>
      <x:c r="I14" s="18" t="n">
        <x:f>ROUND(G14-H14,2)</x:f>
        <x:v>0</x:v>
      </x:c>
    </x:row>
    <x:row r="15" ht="32" customHeight="1">
      <x:c r="A15" s="10" t="str">
        <x:v>04_discount.pdf</x:v>
      </x:c>
      <x:c r="B15" s="10" t="str">
        <x:v>CD-2041</x:v>
      </x:c>
      <x:c r="C15" s="13" t="n">
        <x:v>2</x:v>
      </x:c>
      <x:c r="D15" s="10" t="str">
        <x:v>Clips</x:v>
      </x:c>
      <x:c r="E15" s="19" t="n">
        <x:v>2</x:v>
      </x:c>
      <x:c r="F15" s="19" t="n">
        <x:v>10</x:v>
      </x:c>
      <x:c r="G15" s="19" t="n">
        <x:v>20</x:v>
      </x:c>
      <x:c r="H15" s="19" t="n">
        <x:f>ROUND(E15*F15,2)</x:f>
        <x:v>20</x:v>
      </x:c>
      <x:c r="I15" s="19" t="n">
        <x:f>ROUND(G15-H15,2)</x:f>
        <x:v>0</x:v>
      </x:c>
    </x:row>
    <x:row r="16" ht="32" customHeight="1">
      <x:c r="A16" s="11" t="str">
        <x:v>05_decimal_comma.pdf</x:v>
      </x:c>
      <x:c r="B16" s="11" t="str">
        <x:v>AW-3001</x:v>
      </x:c>
      <x:c r="C16" s="12" t="n">
        <x:v>1</x:v>
      </x:c>
      <x:c r="D16" s="11" t="str">
        <x:v>Cartons</x:v>
      </x:c>
      <x:c r="E16" s="18" t="n">
        <x:v>10</x:v>
      </x:c>
      <x:c r="F16" s="18" t="n">
        <x:v>8.5</x:v>
      </x:c>
      <x:c r="G16" s="18" t="n">
        <x:v>85</x:v>
      </x:c>
      <x:c r="H16" s="18" t="n">
        <x:f>ROUND(E16*F16,2)</x:f>
        <x:v>85</x:v>
      </x:c>
      <x:c r="I16" s="18" t="n">
        <x:f>ROUND(G16-H16,2)</x:f>
        <x:v>0</x:v>
      </x:c>
    </x:row>
    <x:row r="17" ht="32" customHeight="1">
      <x:c r="A17" s="10" t="str">
        <x:v>05_decimal_comma.pdf</x:v>
      </x:c>
      <x:c r="B17" s="10" t="str">
        <x:v>AW-3001</x:v>
      </x:c>
      <x:c r="C17" s="13" t="n">
        <x:v>2</x:v>
      </x:c>
      <x:c r="D17" s="10" t="str">
        <x:v>Mailers</x:v>
      </x:c>
      <x:c r="E17" s="19" t="n">
        <x:v>4</x:v>
      </x:c>
      <x:c r="F17" s="19" t="n">
        <x:v>6.25</x:v>
      </x:c>
      <x:c r="G17" s="19" t="n">
        <x:v>25</x:v>
      </x:c>
      <x:c r="H17" s="19" t="n">
        <x:f>ROUND(E17*F17,2)</x:f>
        <x:v>25</x:v>
      </x:c>
      <x:c r="I17" s="19" t="n">
        <x:f>ROUND(G17-H17,2)</x:f>
        <x:v>0</x:v>
      </x:c>
    </x:row>
    <x:row r="18" ht="32" customHeight="1">
      <x:c r="A18" s="11" t="str">
        <x:v>06_large_amount.pdf</x:v>
      </x:c>
      <x:c r="B18" s="11" t="str">
        <x:v>AW-3002</x:v>
      </x:c>
      <x:c r="C18" s="12" t="n">
        <x:v>1</x:v>
      </x:c>
      <x:c r="D18" s="11" t="str">
        <x:v>Shelving unit</x:v>
      </x:c>
      <x:c r="E18" s="18" t="n">
        <x:v>2</x:v>
      </x:c>
      <x:c r="F18" s="18" t="n">
        <x:v>650</x:v>
      </x:c>
      <x:c r="G18" s="18" t="n">
        <x:v>1300</x:v>
      </x:c>
      <x:c r="H18" s="18" t="n">
        <x:f>ROUND(E18*F18,2)</x:f>
        <x:v>1300</x:v>
      </x:c>
      <x:c r="I18" s="18" t="n">
        <x:f>ROUND(G18-H18,2)</x:f>
        <x:v>0</x:v>
      </x:c>
    </x:row>
    <x:row r="19" ht="32" customHeight="1">
      <x:c r="A19" s="10" t="str">
        <x:v>06_large_amount.pdf</x:v>
      </x:c>
      <x:c r="B19" s="10" t="str">
        <x:v>AW-3002</x:v>
      </x:c>
      <x:c r="C19" s="13" t="n">
        <x:v>2</x:v>
      </x:c>
      <x:c r="D19" s="10" t="str">
        <x:v>Assembly kit</x:v>
      </x:c>
      <x:c r="E19" s="19" t="n">
        <x:v>1</x:v>
      </x:c>
      <x:c r="F19" s="19" t="n">
        <x:v>150</x:v>
      </x:c>
      <x:c r="G19" s="19" t="n">
        <x:v>150</x:v>
      </x:c>
      <x:c r="H19" s="19" t="n">
        <x:f>ROUND(E19*F19,2)</x:f>
        <x:v>150</x:v>
      </x:c>
      <x:c r="I19" s="19" t="n">
        <x:f>ROUND(G19-H19,2)</x:f>
        <x:v>0</x:v>
      </x:c>
    </x:row>
    <x:row r="20" ht="32" customHeight="1">
      <x:c r="A20" s="11" t="str">
        <x:v>07_total_mismatch.pdf</x:v>
      </x:c>
      <x:c r="B20" s="11" t="str">
        <x:v>HS-1003</x:v>
      </x:c>
      <x:c r="C20" s="12" t="n">
        <x:v>1</x:v>
      </x:c>
      <x:c r="D20" s="11" t="str">
        <x:v>Packing boxes</x:v>
      </x:c>
      <x:c r="E20" s="18" t="n">
        <x:v>4</x:v>
      </x:c>
      <x:c r="F20" s="18" t="n">
        <x:v>12.5</x:v>
      </x:c>
      <x:c r="G20" s="18" t="n">
        <x:v>50</x:v>
      </x:c>
      <x:c r="H20" s="18" t="n">
        <x:f>ROUND(E20*F20,2)</x:f>
        <x:v>50</x:v>
      </x:c>
      <x:c r="I20" s="18" t="n">
        <x:f>ROUND(G20-H20,2)</x:f>
        <x:v>0</x:v>
      </x:c>
    </x:row>
    <x:row r="21" ht="32" customHeight="1">
      <x:c r="A21" s="10" t="str">
        <x:v>07_total_mismatch.pdf</x:v>
      </x:c>
      <x:c r="B21" s="10" t="str">
        <x:v>HS-1003</x:v>
      </x:c>
      <x:c r="C21" s="13" t="n">
        <x:v>2</x:v>
      </x:c>
      <x:c r="D21" s="10" t="str">
        <x:v>Packing tape</x:v>
      </x:c>
      <x:c r="E21" s="19" t="n">
        <x:v>6</x:v>
      </x:c>
      <x:c r="F21" s="19" t="n">
        <x:v>3</x:v>
      </x:c>
      <x:c r="G21" s="19" t="n">
        <x:v>18</x:v>
      </x:c>
      <x:c r="H21" s="19" t="n">
        <x:f>ROUND(E21*F21,2)</x:f>
        <x:v>18</x:v>
      </x:c>
      <x:c r="I21" s="19" t="n">
        <x:f>ROUND(G21-H21,2)</x:f>
        <x:v>0</x:v>
      </x:c>
    </x:row>
    <x:row r="22" ht="32" customHeight="1">
      <x:c r="A22" s="11" t="str">
        <x:v>08_line_mismatch.pdf</x:v>
      </x:c>
      <x:c r="B22" s="11" t="str">
        <x:v>CD-2042</x:v>
      </x:c>
      <x:c r="C22" s="12" t="n">
        <x:v>1</x:v>
      </x:c>
      <x:c r="D22" s="11" t="str">
        <x:v>Hand tools</x:v>
      </x:c>
      <x:c r="E22" s="18" t="n">
        <x:v>2</x:v>
      </x:c>
      <x:c r="F22" s="18" t="n">
        <x:v>40</x:v>
      </x:c>
      <x:c r="G22" s="18" t="n">
        <x:v>90</x:v>
      </x:c>
      <x:c r="H22" s="18" t="n">
        <x:f>ROUND(E22*F22,2)</x:f>
        <x:v>80</x:v>
      </x:c>
      <x:c r="I22" s="18" t="n">
        <x:f>ROUND(G22-H22,2)</x:f>
        <x:v>10</x:v>
      </x:c>
    </x:row>
    <x:row r="23" ht="32" customHeight="1">
      <x:c r="A23" s="10" t="str">
        <x:v>08_line_mismatch.pdf</x:v>
      </x:c>
      <x:c r="B23" s="10" t="str">
        <x:v>CD-2042</x:v>
      </x:c>
      <x:c r="C23" s="13" t="n">
        <x:v>2</x:v>
      </x:c>
      <x:c r="D23" s="10" t="str">
        <x:v>Work gloves</x:v>
      </x:c>
      <x:c r="E23" s="19" t="n">
        <x:v>4</x:v>
      </x:c>
      <x:c r="F23" s="19" t="n">
        <x:v>5</x:v>
      </x:c>
      <x:c r="G23" s="19" t="n">
        <x:v>20</x:v>
      </x:c>
      <x:c r="H23" s="19" t="n">
        <x:f>ROUND(E23*F23,2)</x:f>
        <x:v>20</x:v>
      </x:c>
      <x:c r="I23" s="19" t="n">
        <x:f>ROUND(G23-H23,2)</x:f>
        <x:v>0</x:v>
      </x:c>
    </x:row>
    <x:row r="24" ht="32" customHeight="1">
      <x:c r="A24" s="11" t="str">
        <x:v>09_missing_date.pdf</x:v>
      </x:c>
      <x:c r="B24" s="11" t="str">
        <x:v>AW-3003</x:v>
      </x:c>
      <x:c r="C24" s="12" t="n">
        <x:v>1</x:v>
      </x:c>
      <x:c r="D24" s="11" t="str">
        <x:v>Cartons</x:v>
      </x:c>
      <x:c r="E24" s="18" t="n">
        <x:v>10</x:v>
      </x:c>
      <x:c r="F24" s="18" t="n">
        <x:v>8.5</x:v>
      </x:c>
      <x:c r="G24" s="18" t="n">
        <x:v>85</x:v>
      </x:c>
      <x:c r="H24" s="18" t="n">
        <x:f>ROUND(E24*F24,2)</x:f>
        <x:v>85</x:v>
      </x:c>
      <x:c r="I24" s="18" t="n">
        <x:f>ROUND(G24-H24,2)</x:f>
        <x:v>0</x:v>
      </x:c>
    </x:row>
    <x:row r="25" ht="32" customHeight="1">
      <x:c r="A25" s="10" t="str">
        <x:v>09_missing_date.pdf</x:v>
      </x:c>
      <x:c r="B25" s="10" t="str">
        <x:v>AW-3003</x:v>
      </x:c>
      <x:c r="C25" s="13" t="n">
        <x:v>2</x:v>
      </x:c>
      <x:c r="D25" s="10" t="str">
        <x:v>Mailers</x:v>
      </x:c>
      <x:c r="E25" s="19" t="n">
        <x:v>4</x:v>
      </x:c>
      <x:c r="F25" s="19" t="n">
        <x:v>6.25</x:v>
      </x:c>
      <x:c r="G25" s="19" t="n">
        <x:v>25</x:v>
      </x:c>
      <x:c r="H25" s="19" t="n">
        <x:f>ROUND(E25*F25,2)</x:f>
        <x:v>25</x:v>
      </x:c>
      <x:c r="I25" s="19" t="n">
        <x:f>ROUND(G25-H25,2)</x:f>
        <x:v>0</x:v>
      </x:c>
    </x:row>
  </x:sheetData>
  <x:conditionalFormatting sqref="I8:I25">
    <x:cfRule type="expression" dxfId="2" priority="1">
      <x:formula>ABS(I8)&gt;0.01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d3d9b3df284ae3"/>
  </x:tableParts>
</x:worksheet>
</file>